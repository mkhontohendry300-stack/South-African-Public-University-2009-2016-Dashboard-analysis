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hendry_mkhonto_capaciti_org_za/Documents/Desktop/Data Engineering Projects/Project 3- Data analyst/Unclead data/"/>
    </mc:Choice>
  </mc:AlternateContent>
  <xr:revisionPtr revIDLastSave="0" documentId="8_{FDE78C5A-A859-470B-9FEE-7CE733E99CE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H37" i="2"/>
  <c r="AI37" i="2"/>
  <c r="AJ37" i="2"/>
  <c r="AK37" i="2"/>
  <c r="AL37" i="2"/>
  <c r="D37" i="2"/>
  <c r="AG11" i="2"/>
  <c r="AG12" i="2"/>
  <c r="AG13" i="2"/>
  <c r="AG14" i="2"/>
  <c r="AG15" i="2"/>
  <c r="AG16" i="2"/>
  <c r="AG17" i="2"/>
  <c r="AG18" i="2"/>
  <c r="AG19" i="2"/>
  <c r="AG35" i="2"/>
  <c r="AG20" i="2"/>
  <c r="AG21" i="2"/>
  <c r="AG22" i="2"/>
  <c r="AG23" i="2"/>
  <c r="AG24" i="2"/>
  <c r="AG25" i="2"/>
  <c r="AG26" i="2"/>
  <c r="AG28" i="2"/>
  <c r="AG27" i="2"/>
  <c r="AG29" i="2"/>
  <c r="AG30" i="2"/>
  <c r="AG31" i="2"/>
  <c r="AG32" i="2"/>
  <c r="AG37" i="2" l="1"/>
</calcChain>
</file>

<file path=xl/sharedStrings.xml><?xml version="1.0" encoding="utf-8"?>
<sst xmlns="http://schemas.openxmlformats.org/spreadsheetml/2006/main" count="127" uniqueCount="92">
  <si>
    <t>CPUT</t>
  </si>
  <si>
    <t>UCT</t>
  </si>
  <si>
    <t>CUT</t>
  </si>
  <si>
    <t>DUT</t>
  </si>
  <si>
    <t>FH</t>
  </si>
  <si>
    <t>FS</t>
  </si>
  <si>
    <t>UJ</t>
  </si>
  <si>
    <t>KZN</t>
  </si>
  <si>
    <t>MUT</t>
  </si>
  <si>
    <t>NWU</t>
  </si>
  <si>
    <t>UP</t>
  </si>
  <si>
    <t>RU</t>
  </si>
  <si>
    <t>UNISA</t>
  </si>
  <si>
    <t>SU</t>
  </si>
  <si>
    <t>TUT</t>
  </si>
  <si>
    <t>VUT</t>
  </si>
  <si>
    <t>UNIVEN</t>
  </si>
  <si>
    <t>WSU</t>
  </si>
  <si>
    <t>UWC</t>
  </si>
  <si>
    <t>WITS</t>
  </si>
  <si>
    <t>UZ</t>
  </si>
  <si>
    <t>Total</t>
  </si>
  <si>
    <t>TOTAL</t>
  </si>
  <si>
    <t>Other</t>
  </si>
  <si>
    <t xml:space="preserve">Institution Number </t>
  </si>
  <si>
    <t xml:space="preserve">University </t>
  </si>
  <si>
    <t xml:space="preserve">University Name </t>
  </si>
  <si>
    <t>H01</t>
  </si>
  <si>
    <t>Cape Peninsula University of Technology</t>
  </si>
  <si>
    <t>H02</t>
  </si>
  <si>
    <t>University of Cape Town</t>
  </si>
  <si>
    <t>H03</t>
  </si>
  <si>
    <t>Central University of Technology</t>
  </si>
  <si>
    <t>H04</t>
  </si>
  <si>
    <t>Durban University of Technology</t>
  </si>
  <si>
    <t>H05</t>
  </si>
  <si>
    <t>University of Fort Hare</t>
  </si>
  <si>
    <t>H06</t>
  </si>
  <si>
    <t>University of Free State</t>
  </si>
  <si>
    <t>H07</t>
  </si>
  <si>
    <t>University of Johannesburg</t>
  </si>
  <si>
    <t>H08</t>
  </si>
  <si>
    <t>University of Kwazulu-Natal</t>
  </si>
  <si>
    <t>H09</t>
  </si>
  <si>
    <t>UL</t>
  </si>
  <si>
    <t>University of Limpopo</t>
  </si>
  <si>
    <t>H10</t>
  </si>
  <si>
    <t>Nelson Mandela University</t>
  </si>
  <si>
    <t>H11</t>
  </si>
  <si>
    <t>North West University</t>
  </si>
  <si>
    <t>H12</t>
  </si>
  <si>
    <t>University of Pretoria</t>
  </si>
  <si>
    <t>H13</t>
  </si>
  <si>
    <t>Rhodes University</t>
  </si>
  <si>
    <t>H14</t>
  </si>
  <si>
    <t>University of South Africa</t>
  </si>
  <si>
    <t>H15</t>
  </si>
  <si>
    <t>University of Stellenbosch</t>
  </si>
  <si>
    <t xml:space="preserve">H16 </t>
  </si>
  <si>
    <t>Tshwane University of Technology</t>
  </si>
  <si>
    <t>H17</t>
  </si>
  <si>
    <t>University of Venda</t>
  </si>
  <si>
    <t>H18</t>
  </si>
  <si>
    <t>Vaal University of Technology</t>
  </si>
  <si>
    <t>H19</t>
  </si>
  <si>
    <t>Walter Sisulu University</t>
  </si>
  <si>
    <t>H20</t>
  </si>
  <si>
    <t>University of the Western Cape</t>
  </si>
  <si>
    <t>H21</t>
  </si>
  <si>
    <t>University of Witwatersrand</t>
  </si>
  <si>
    <t>H22</t>
  </si>
  <si>
    <t>University of Zululand</t>
  </si>
  <si>
    <t xml:space="preserve">H23 </t>
  </si>
  <si>
    <t>SPU</t>
  </si>
  <si>
    <t>Sol Plaatje University</t>
  </si>
  <si>
    <t>H24</t>
  </si>
  <si>
    <t>UMP</t>
  </si>
  <si>
    <t>University of Mpumalanga</t>
  </si>
  <si>
    <t>H25</t>
  </si>
  <si>
    <t>Mangosuthu University of Technology</t>
  </si>
  <si>
    <t>H26</t>
  </si>
  <si>
    <t>SMHSU</t>
  </si>
  <si>
    <t>Sefako Makgatho Health Science University</t>
  </si>
  <si>
    <t>NMU</t>
  </si>
  <si>
    <t>Academic staff</t>
  </si>
  <si>
    <t>Professional support staff</t>
  </si>
  <si>
    <t>Technical &amp; administrative staff</t>
  </si>
  <si>
    <t>Centre for Higher Education Trust (CHET)</t>
  </si>
  <si>
    <t>South African Higher Education Performance Indicators 2009-2016</t>
  </si>
  <si>
    <t xml:space="preserve">CHET data and databses are made available under the Open Data Commons Attribution License: http://opendatacommons.org/licenses/by/1.0 </t>
  </si>
  <si>
    <t>Table 11 Number of university staff by type 2009 to 2016</t>
  </si>
  <si>
    <t>Compiled by Charles Sheppard and Francois van Schalkwyk. Data source: Higher Education Management Information System (HEMIS) of the South African Department of Higher Education and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</si>
</sst>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8"/>
      <color theme="1" tint="0.249977111117893"/>
      <name val="Arial"/>
      <family val="2"/>
    </font>
    <font>
      <b/>
      <sz val="14"/>
      <color theme="9" tint="-0.249977111117893"/>
      <name val="Arial"/>
      <family val="2"/>
    </font>
    <font>
      <i/>
      <sz val="11"/>
      <color theme="9" tint="-0.249977111117893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3" fontId="4" fillId="0" borderId="1" xfId="1" applyNumberFormat="1" applyFont="1" applyBorder="1" applyAlignment="1">
      <alignment horizontal="right"/>
    </xf>
    <xf numFmtId="164" fontId="1" fillId="0" borderId="1" xfId="5" applyNumberFormat="1" applyFont="1" applyFill="1" applyBorder="1" applyAlignment="1">
      <alignment horizontal="right"/>
    </xf>
    <xf numFmtId="164" fontId="1" fillId="0" borderId="1" xfId="5" applyNumberFormat="1" applyFont="1" applyBorder="1"/>
    <xf numFmtId="164" fontId="4" fillId="0" borderId="1" xfId="5" applyNumberFormat="1" applyFont="1" applyBorder="1" applyAlignment="1">
      <alignment horizontal="right"/>
    </xf>
    <xf numFmtId="164" fontId="1" fillId="0" borderId="1" xfId="5" applyNumberFormat="1" applyFont="1" applyBorder="1" applyAlignment="1">
      <alignment horizontal="right"/>
    </xf>
    <xf numFmtId="164" fontId="4" fillId="0" borderId="1" xfId="5" applyNumberFormat="1" applyFont="1" applyFill="1" applyBorder="1" applyAlignment="1">
      <alignment horizontal="right" wrapText="1"/>
    </xf>
    <xf numFmtId="164" fontId="3" fillId="0" borderId="1" xfId="5" applyNumberFormat="1" applyFont="1" applyBorder="1"/>
    <xf numFmtId="164" fontId="1" fillId="0" borderId="1" xfId="5" applyNumberFormat="1" applyFont="1" applyFill="1" applyBorder="1"/>
    <xf numFmtId="164" fontId="0" fillId="0" borderId="0" xfId="0" applyNumberFormat="1"/>
    <xf numFmtId="0" fontId="5" fillId="0" borderId="0" xfId="0" applyFont="1"/>
    <xf numFmtId="0" fontId="6" fillId="0" borderId="0" xfId="0" applyFont="1"/>
    <xf numFmtId="1" fontId="7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6">
    <cellStyle name="Comma" xfId="5" builtinId="3"/>
    <cellStyle name="Normal" xfId="0" builtinId="0"/>
    <cellStyle name="Normal 2" xfId="1" xr:uid="{00000000-0005-0000-0000-000002000000}"/>
    <cellStyle name="Normal 73" xfId="3" xr:uid="{00000000-0005-0000-0000-000003000000}"/>
    <cellStyle name="Normal 75" xfId="4" xr:uid="{00000000-0005-0000-0000-000004000000}"/>
    <cellStyle name="Normal 76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9"/>
  <sheetViews>
    <sheetView tabSelected="1" topLeftCell="A3" workbookViewId="0"/>
  </sheetViews>
  <sheetFormatPr defaultRowHeight="15" x14ac:dyDescent="0.25"/>
  <cols>
    <col min="1" max="1" width="11" customWidth="1"/>
    <col min="2" max="2" width="10.85546875" customWidth="1"/>
    <col min="3" max="3" width="40" bestFit="1" customWidth="1"/>
    <col min="4" max="4" width="9.28515625" customWidth="1"/>
    <col min="5" max="5" width="9.42578125" customWidth="1"/>
    <col min="6" max="6" width="10.42578125" customWidth="1"/>
    <col min="7" max="7" width="9.42578125" customWidth="1"/>
    <col min="8" max="8" width="9.140625" customWidth="1"/>
    <col min="9" max="9" width="9.7109375" customWidth="1"/>
    <col min="10" max="10" width="9.140625" customWidth="1"/>
    <col min="11" max="11" width="10.85546875" customWidth="1"/>
    <col min="12" max="13" width="9.140625" customWidth="1"/>
    <col min="14" max="14" width="10.140625" customWidth="1"/>
    <col min="15" max="15" width="9.140625" customWidth="1"/>
    <col min="16" max="16" width="10.42578125" customWidth="1"/>
    <col min="17" max="18" width="9.140625" customWidth="1"/>
    <col min="19" max="19" width="10.140625" customWidth="1"/>
    <col min="20" max="20" width="9.140625" customWidth="1"/>
    <col min="21" max="21" width="11" customWidth="1"/>
    <col min="22" max="23" width="9.140625" customWidth="1"/>
    <col min="24" max="24" width="10.7109375" customWidth="1"/>
    <col min="25" max="25" width="9.140625" customWidth="1"/>
    <col min="26" max="26" width="10.7109375" customWidth="1"/>
    <col min="27" max="28" width="9.140625" customWidth="1"/>
    <col min="29" max="29" width="11" customWidth="1"/>
    <col min="30" max="30" width="9.140625" customWidth="1"/>
    <col min="31" max="31" width="10.85546875" customWidth="1"/>
    <col min="32" max="33" width="9.140625" customWidth="1"/>
    <col min="34" max="34" width="9.85546875" customWidth="1"/>
    <col min="35" max="35" width="9.140625" customWidth="1"/>
    <col min="36" max="36" width="10.28515625" customWidth="1"/>
    <col min="37" max="38" width="9.140625" customWidth="1"/>
    <col min="39" max="39" width="10.7109375" customWidth="1"/>
    <col min="41" max="41" width="10.42578125" customWidth="1"/>
  </cols>
  <sheetData>
    <row r="1" spans="1:43" ht="23.25" x14ac:dyDescent="0.25">
      <c r="A1" s="19" t="s">
        <v>87</v>
      </c>
    </row>
    <row r="2" spans="1:43" ht="18" x14ac:dyDescent="0.25">
      <c r="A2" s="20" t="s">
        <v>88</v>
      </c>
    </row>
    <row r="3" spans="1:43" x14ac:dyDescent="0.25">
      <c r="A3" s="21" t="s">
        <v>91</v>
      </c>
    </row>
    <row r="4" spans="1:43" x14ac:dyDescent="0.25">
      <c r="A4" s="22" t="s">
        <v>89</v>
      </c>
    </row>
    <row r="6" spans="1:43" ht="18.75" x14ac:dyDescent="0.3">
      <c r="A6" s="16" t="s">
        <v>90</v>
      </c>
    </row>
    <row r="7" spans="1:43" x14ac:dyDescent="0.25">
      <c r="A7" s="1"/>
    </row>
    <row r="8" spans="1:43" x14ac:dyDescent="0.25">
      <c r="A8" s="1"/>
      <c r="D8" s="23">
        <v>2009</v>
      </c>
      <c r="E8" s="23"/>
      <c r="F8" s="23"/>
      <c r="G8" s="23"/>
      <c r="H8" s="23"/>
      <c r="I8" s="23">
        <v>2010</v>
      </c>
      <c r="J8" s="23"/>
      <c r="K8" s="23"/>
      <c r="L8" s="23"/>
      <c r="M8" s="23"/>
      <c r="N8" s="23">
        <v>2011</v>
      </c>
      <c r="O8" s="23"/>
      <c r="P8" s="23"/>
      <c r="Q8" s="23"/>
      <c r="R8" s="23"/>
      <c r="S8" s="23">
        <v>2012</v>
      </c>
      <c r="T8" s="23"/>
      <c r="U8" s="23"/>
      <c r="V8" s="23"/>
      <c r="W8" s="23"/>
      <c r="X8" s="23">
        <v>2013</v>
      </c>
      <c r="Y8" s="23"/>
      <c r="Z8" s="23"/>
      <c r="AA8" s="23"/>
      <c r="AB8" s="23"/>
      <c r="AC8" s="23">
        <v>2014</v>
      </c>
      <c r="AD8" s="23"/>
      <c r="AE8" s="23"/>
      <c r="AF8" s="23"/>
      <c r="AG8" s="23"/>
      <c r="AH8" s="23">
        <v>2015</v>
      </c>
      <c r="AI8" s="23"/>
      <c r="AJ8" s="23"/>
      <c r="AK8" s="23"/>
      <c r="AL8" s="23"/>
      <c r="AM8" s="23">
        <v>2016</v>
      </c>
      <c r="AN8" s="23"/>
      <c r="AO8" s="23"/>
      <c r="AP8" s="23"/>
      <c r="AQ8" s="23"/>
    </row>
    <row r="9" spans="1:43" s="17" customFormat="1" ht="33.75" x14ac:dyDescent="0.2">
      <c r="A9" s="2" t="s">
        <v>24</v>
      </c>
      <c r="B9" s="3" t="s">
        <v>25</v>
      </c>
      <c r="C9" s="3" t="s">
        <v>26</v>
      </c>
      <c r="D9" s="18" t="s">
        <v>84</v>
      </c>
      <c r="E9" s="18" t="s">
        <v>85</v>
      </c>
      <c r="F9" s="18" t="s">
        <v>86</v>
      </c>
      <c r="G9" s="18" t="s">
        <v>23</v>
      </c>
      <c r="H9" s="18" t="s">
        <v>21</v>
      </c>
      <c r="I9" s="18" t="s">
        <v>84</v>
      </c>
      <c r="J9" s="18" t="s">
        <v>85</v>
      </c>
      <c r="K9" s="18" t="s">
        <v>86</v>
      </c>
      <c r="L9" s="18" t="s">
        <v>23</v>
      </c>
      <c r="M9" s="18" t="s">
        <v>21</v>
      </c>
      <c r="N9" s="18" t="s">
        <v>84</v>
      </c>
      <c r="O9" s="18" t="s">
        <v>85</v>
      </c>
      <c r="P9" s="18" t="s">
        <v>86</v>
      </c>
      <c r="Q9" s="18" t="s">
        <v>23</v>
      </c>
      <c r="R9" s="18" t="s">
        <v>21</v>
      </c>
      <c r="S9" s="18" t="s">
        <v>84</v>
      </c>
      <c r="T9" s="18" t="s">
        <v>85</v>
      </c>
      <c r="U9" s="18" t="s">
        <v>86</v>
      </c>
      <c r="V9" s="18" t="s">
        <v>23</v>
      </c>
      <c r="W9" s="18" t="s">
        <v>21</v>
      </c>
      <c r="X9" s="18" t="s">
        <v>84</v>
      </c>
      <c r="Y9" s="18" t="s">
        <v>85</v>
      </c>
      <c r="Z9" s="18" t="s">
        <v>86</v>
      </c>
      <c r="AA9" s="18" t="s">
        <v>23</v>
      </c>
      <c r="AB9" s="18" t="s">
        <v>21</v>
      </c>
      <c r="AC9" s="18" t="s">
        <v>84</v>
      </c>
      <c r="AD9" s="18" t="s">
        <v>85</v>
      </c>
      <c r="AE9" s="18" t="s">
        <v>86</v>
      </c>
      <c r="AF9" s="18" t="s">
        <v>23</v>
      </c>
      <c r="AG9" s="18" t="s">
        <v>21</v>
      </c>
      <c r="AH9" s="18" t="s">
        <v>84</v>
      </c>
      <c r="AI9" s="18" t="s">
        <v>85</v>
      </c>
      <c r="AJ9" s="18" t="s">
        <v>86</v>
      </c>
      <c r="AK9" s="18" t="s">
        <v>23</v>
      </c>
      <c r="AL9" s="18" t="s">
        <v>21</v>
      </c>
      <c r="AM9" s="18" t="s">
        <v>84</v>
      </c>
      <c r="AN9" s="18" t="s">
        <v>85</v>
      </c>
      <c r="AO9" s="18" t="s">
        <v>86</v>
      </c>
      <c r="AP9" s="18" t="s">
        <v>23</v>
      </c>
      <c r="AQ9" s="18" t="s">
        <v>21</v>
      </c>
    </row>
    <row r="10" spans="1:43" x14ac:dyDescent="0.25">
      <c r="A10" s="4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1:43" x14ac:dyDescent="0.25">
      <c r="A11" s="5" t="s">
        <v>27</v>
      </c>
      <c r="B11" s="5" t="s">
        <v>0</v>
      </c>
      <c r="C11" s="5" t="s">
        <v>28</v>
      </c>
      <c r="D11" s="7">
        <v>715</v>
      </c>
      <c r="E11" s="7">
        <v>227</v>
      </c>
      <c r="F11" s="7">
        <v>612</v>
      </c>
      <c r="G11" s="7">
        <v>164</v>
      </c>
      <c r="H11" s="7">
        <v>1718</v>
      </c>
      <c r="I11" s="7">
        <v>749</v>
      </c>
      <c r="J11" s="7">
        <v>249</v>
      </c>
      <c r="K11" s="7">
        <v>627</v>
      </c>
      <c r="L11" s="7">
        <v>161</v>
      </c>
      <c r="M11" s="7">
        <v>1786</v>
      </c>
      <c r="N11" s="7">
        <v>763</v>
      </c>
      <c r="O11" s="7">
        <v>246</v>
      </c>
      <c r="P11" s="7">
        <v>666</v>
      </c>
      <c r="Q11" s="7">
        <v>157</v>
      </c>
      <c r="R11" s="7">
        <v>1832</v>
      </c>
      <c r="S11" s="7">
        <v>765</v>
      </c>
      <c r="T11" s="7">
        <v>252</v>
      </c>
      <c r="U11" s="7">
        <v>652</v>
      </c>
      <c r="V11" s="7">
        <v>175</v>
      </c>
      <c r="W11" s="7">
        <v>1844</v>
      </c>
      <c r="X11" s="7">
        <v>768</v>
      </c>
      <c r="Y11" s="7">
        <v>254</v>
      </c>
      <c r="Z11" s="7">
        <v>707</v>
      </c>
      <c r="AA11" s="7">
        <v>164</v>
      </c>
      <c r="AB11" s="7">
        <v>1893</v>
      </c>
      <c r="AC11" s="6">
        <v>774</v>
      </c>
      <c r="AD11" s="6">
        <v>265</v>
      </c>
      <c r="AE11" s="6">
        <v>739</v>
      </c>
      <c r="AF11" s="6">
        <v>160</v>
      </c>
      <c r="AG11" s="7">
        <f t="shared" ref="AG11:AG32" si="0">SUM(AC11:AF11)</f>
        <v>1938</v>
      </c>
      <c r="AH11" s="6">
        <v>807</v>
      </c>
      <c r="AI11" s="6">
        <v>260</v>
      </c>
      <c r="AJ11" s="6">
        <v>770</v>
      </c>
      <c r="AK11" s="6">
        <v>149</v>
      </c>
      <c r="AL11" s="6">
        <v>1986</v>
      </c>
      <c r="AM11" s="9">
        <v>842</v>
      </c>
      <c r="AN11" s="9">
        <v>262</v>
      </c>
      <c r="AO11" s="9">
        <v>804</v>
      </c>
      <c r="AP11" s="9">
        <v>697</v>
      </c>
      <c r="AQ11" s="9">
        <v>2605</v>
      </c>
    </row>
    <row r="12" spans="1:43" x14ac:dyDescent="0.25">
      <c r="A12" s="5" t="s">
        <v>29</v>
      </c>
      <c r="B12" s="5" t="s">
        <v>1</v>
      </c>
      <c r="C12" s="5" t="s">
        <v>30</v>
      </c>
      <c r="D12" s="8">
        <v>965</v>
      </c>
      <c r="E12" s="8">
        <v>550</v>
      </c>
      <c r="F12" s="8">
        <v>1599</v>
      </c>
      <c r="G12" s="8">
        <v>147</v>
      </c>
      <c r="H12" s="8">
        <v>3261</v>
      </c>
      <c r="I12" s="8">
        <v>982</v>
      </c>
      <c r="J12" s="8">
        <v>593</v>
      </c>
      <c r="K12" s="8">
        <v>1575</v>
      </c>
      <c r="L12" s="8">
        <v>145</v>
      </c>
      <c r="M12" s="8">
        <v>3295</v>
      </c>
      <c r="N12" s="8">
        <v>1055</v>
      </c>
      <c r="O12" s="8">
        <v>662</v>
      </c>
      <c r="P12" s="8">
        <v>1503</v>
      </c>
      <c r="Q12" s="8">
        <v>193</v>
      </c>
      <c r="R12" s="8">
        <v>3413</v>
      </c>
      <c r="S12" s="8">
        <v>1078</v>
      </c>
      <c r="T12" s="8">
        <v>673</v>
      </c>
      <c r="U12" s="8">
        <v>1487</v>
      </c>
      <c r="V12" s="8">
        <v>183</v>
      </c>
      <c r="W12" s="8">
        <v>3421</v>
      </c>
      <c r="X12" s="8">
        <v>1093</v>
      </c>
      <c r="Y12" s="8">
        <v>682</v>
      </c>
      <c r="Z12" s="8">
        <v>1503</v>
      </c>
      <c r="AA12" s="8">
        <v>151</v>
      </c>
      <c r="AB12" s="8">
        <v>3429</v>
      </c>
      <c r="AC12" s="9">
        <v>1149</v>
      </c>
      <c r="AD12" s="9">
        <v>689</v>
      </c>
      <c r="AE12" s="9">
        <v>1556</v>
      </c>
      <c r="AF12" s="9">
        <v>105</v>
      </c>
      <c r="AG12" s="10">
        <f t="shared" si="0"/>
        <v>3499</v>
      </c>
      <c r="AH12" s="9">
        <v>1179</v>
      </c>
      <c r="AI12" s="9">
        <v>698</v>
      </c>
      <c r="AJ12" s="9">
        <v>1569</v>
      </c>
      <c r="AK12" s="9">
        <v>96</v>
      </c>
      <c r="AL12" s="9">
        <v>3542</v>
      </c>
      <c r="AM12" s="9">
        <v>1202</v>
      </c>
      <c r="AN12" s="9">
        <v>699</v>
      </c>
      <c r="AO12" s="9">
        <v>2233</v>
      </c>
      <c r="AP12" s="9">
        <v>775</v>
      </c>
      <c r="AQ12" s="9">
        <v>4909</v>
      </c>
    </row>
    <row r="13" spans="1:43" x14ac:dyDescent="0.25">
      <c r="A13" s="5" t="s">
        <v>31</v>
      </c>
      <c r="B13" s="5" t="s">
        <v>2</v>
      </c>
      <c r="C13" s="5" t="s">
        <v>32</v>
      </c>
      <c r="D13" s="11">
        <v>247</v>
      </c>
      <c r="E13" s="11">
        <v>131</v>
      </c>
      <c r="F13" s="11">
        <v>139</v>
      </c>
      <c r="G13" s="11">
        <v>147</v>
      </c>
      <c r="H13" s="11">
        <v>664</v>
      </c>
      <c r="I13" s="11">
        <v>260</v>
      </c>
      <c r="J13" s="11">
        <v>125</v>
      </c>
      <c r="K13" s="11">
        <v>146</v>
      </c>
      <c r="L13" s="11">
        <v>131</v>
      </c>
      <c r="M13" s="11">
        <v>662</v>
      </c>
      <c r="N13" s="11">
        <v>269</v>
      </c>
      <c r="O13" s="11">
        <v>149</v>
      </c>
      <c r="P13" s="11">
        <v>172</v>
      </c>
      <c r="Q13" s="11">
        <v>125</v>
      </c>
      <c r="R13" s="11">
        <v>715</v>
      </c>
      <c r="S13" s="11">
        <v>274</v>
      </c>
      <c r="T13" s="11">
        <v>128</v>
      </c>
      <c r="U13" s="11">
        <v>190</v>
      </c>
      <c r="V13" s="11">
        <v>110</v>
      </c>
      <c r="W13" s="11">
        <v>702</v>
      </c>
      <c r="X13" s="11">
        <v>291</v>
      </c>
      <c r="Y13" s="11">
        <v>130</v>
      </c>
      <c r="Z13" s="11">
        <v>205</v>
      </c>
      <c r="AA13" s="11">
        <v>105</v>
      </c>
      <c r="AB13" s="11">
        <v>731</v>
      </c>
      <c r="AC13" s="9">
        <v>295</v>
      </c>
      <c r="AD13" s="9">
        <v>136</v>
      </c>
      <c r="AE13" s="9">
        <v>241</v>
      </c>
      <c r="AF13" s="9">
        <v>93</v>
      </c>
      <c r="AG13" s="10">
        <f t="shared" si="0"/>
        <v>765</v>
      </c>
      <c r="AH13" s="9">
        <v>288</v>
      </c>
      <c r="AI13" s="9">
        <v>131</v>
      </c>
      <c r="AJ13" s="9">
        <v>235</v>
      </c>
      <c r="AK13" s="9">
        <v>112</v>
      </c>
      <c r="AL13" s="9">
        <v>766</v>
      </c>
      <c r="AM13" s="9">
        <v>297</v>
      </c>
      <c r="AN13" s="9">
        <v>127</v>
      </c>
      <c r="AO13" s="9">
        <v>244</v>
      </c>
      <c r="AP13" s="9">
        <v>105</v>
      </c>
      <c r="AQ13" s="9">
        <v>773</v>
      </c>
    </row>
    <row r="14" spans="1:43" x14ac:dyDescent="0.25">
      <c r="A14" s="5" t="s">
        <v>33</v>
      </c>
      <c r="B14" s="5" t="s">
        <v>3</v>
      </c>
      <c r="C14" s="5" t="s">
        <v>34</v>
      </c>
      <c r="D14" s="11">
        <v>561</v>
      </c>
      <c r="E14" s="11">
        <v>140</v>
      </c>
      <c r="F14" s="11">
        <v>525</v>
      </c>
      <c r="G14" s="11">
        <v>111</v>
      </c>
      <c r="H14" s="11">
        <v>1337</v>
      </c>
      <c r="I14" s="11">
        <v>574</v>
      </c>
      <c r="J14" s="11">
        <v>144</v>
      </c>
      <c r="K14" s="11">
        <v>572</v>
      </c>
      <c r="L14" s="11">
        <v>107</v>
      </c>
      <c r="M14" s="11">
        <v>1397</v>
      </c>
      <c r="N14" s="11">
        <v>592</v>
      </c>
      <c r="O14" s="11">
        <v>165</v>
      </c>
      <c r="P14" s="11">
        <v>586</v>
      </c>
      <c r="Q14" s="11">
        <v>100</v>
      </c>
      <c r="R14" s="11">
        <v>1443</v>
      </c>
      <c r="S14" s="11">
        <v>599</v>
      </c>
      <c r="T14" s="11">
        <v>158</v>
      </c>
      <c r="U14" s="11">
        <v>577</v>
      </c>
      <c r="V14" s="11">
        <v>112</v>
      </c>
      <c r="W14" s="11">
        <v>1446</v>
      </c>
      <c r="X14" s="11">
        <v>579</v>
      </c>
      <c r="Y14" s="11">
        <v>155</v>
      </c>
      <c r="Z14" s="11">
        <v>585</v>
      </c>
      <c r="AA14" s="11">
        <v>101</v>
      </c>
      <c r="AB14" s="11">
        <v>1420</v>
      </c>
      <c r="AC14" s="9">
        <v>579</v>
      </c>
      <c r="AD14" s="9">
        <v>148</v>
      </c>
      <c r="AE14" s="9">
        <v>590</v>
      </c>
      <c r="AF14" s="9">
        <v>95</v>
      </c>
      <c r="AG14" s="10">
        <f t="shared" si="0"/>
        <v>1412</v>
      </c>
      <c r="AH14" s="9">
        <v>577</v>
      </c>
      <c r="AI14" s="9">
        <v>154</v>
      </c>
      <c r="AJ14" s="9">
        <v>594</v>
      </c>
      <c r="AK14" s="9">
        <v>89</v>
      </c>
      <c r="AL14" s="9">
        <v>1414</v>
      </c>
      <c r="AM14" s="9">
        <v>583</v>
      </c>
      <c r="AN14" s="9">
        <v>145</v>
      </c>
      <c r="AO14" s="9">
        <v>633</v>
      </c>
      <c r="AP14" s="9">
        <v>83</v>
      </c>
      <c r="AQ14" s="9">
        <v>1444</v>
      </c>
    </row>
    <row r="15" spans="1:43" x14ac:dyDescent="0.25">
      <c r="A15" s="5" t="s">
        <v>35</v>
      </c>
      <c r="B15" s="5" t="s">
        <v>4</v>
      </c>
      <c r="C15" s="5" t="s">
        <v>36</v>
      </c>
      <c r="D15" s="11">
        <v>347</v>
      </c>
      <c r="E15" s="11">
        <v>201</v>
      </c>
      <c r="F15" s="11">
        <v>420</v>
      </c>
      <c r="G15" s="11">
        <v>38</v>
      </c>
      <c r="H15" s="11">
        <v>1006</v>
      </c>
      <c r="I15" s="11">
        <v>292</v>
      </c>
      <c r="J15" s="11">
        <v>137</v>
      </c>
      <c r="K15" s="11">
        <v>264</v>
      </c>
      <c r="L15" s="11">
        <v>19</v>
      </c>
      <c r="M15" s="11">
        <v>712</v>
      </c>
      <c r="N15" s="11">
        <v>291</v>
      </c>
      <c r="O15" s="11">
        <v>147</v>
      </c>
      <c r="P15" s="11">
        <v>274</v>
      </c>
      <c r="Q15" s="11">
        <v>21</v>
      </c>
      <c r="R15" s="11">
        <v>733</v>
      </c>
      <c r="S15" s="11">
        <v>319.03199999999998</v>
      </c>
      <c r="T15" s="11">
        <v>181.953</v>
      </c>
      <c r="U15" s="11">
        <v>336.25099999999998</v>
      </c>
      <c r="V15" s="11">
        <v>52.25</v>
      </c>
      <c r="W15" s="11">
        <v>889.48599999999999</v>
      </c>
      <c r="X15" s="11">
        <v>327</v>
      </c>
      <c r="Y15" s="11">
        <v>168</v>
      </c>
      <c r="Z15" s="11">
        <v>350</v>
      </c>
      <c r="AA15" s="11">
        <v>29</v>
      </c>
      <c r="AB15" s="11">
        <v>874</v>
      </c>
      <c r="AC15" s="9">
        <v>334</v>
      </c>
      <c r="AD15" s="9">
        <v>171</v>
      </c>
      <c r="AE15" s="9">
        <v>382</v>
      </c>
      <c r="AF15" s="9">
        <v>32</v>
      </c>
      <c r="AG15" s="10">
        <f t="shared" si="0"/>
        <v>919</v>
      </c>
      <c r="AH15" s="9">
        <v>345</v>
      </c>
      <c r="AI15" s="9">
        <v>129</v>
      </c>
      <c r="AJ15" s="9">
        <v>395</v>
      </c>
      <c r="AK15" s="9">
        <v>25</v>
      </c>
      <c r="AL15" s="9">
        <v>894</v>
      </c>
      <c r="AM15" s="9">
        <v>371</v>
      </c>
      <c r="AN15" s="9">
        <v>113</v>
      </c>
      <c r="AO15" s="9">
        <v>461</v>
      </c>
      <c r="AP15" s="9">
        <v>23</v>
      </c>
      <c r="AQ15" s="9">
        <v>968</v>
      </c>
    </row>
    <row r="16" spans="1:43" x14ac:dyDescent="0.25">
      <c r="A16" s="5" t="s">
        <v>37</v>
      </c>
      <c r="B16" s="5" t="s">
        <v>5</v>
      </c>
      <c r="C16" s="5" t="s">
        <v>38</v>
      </c>
      <c r="D16" s="10">
        <v>779</v>
      </c>
      <c r="E16" s="10">
        <v>205</v>
      </c>
      <c r="F16" s="10">
        <v>721</v>
      </c>
      <c r="G16" s="10">
        <v>353</v>
      </c>
      <c r="H16" s="10">
        <v>2058</v>
      </c>
      <c r="I16" s="10">
        <v>795</v>
      </c>
      <c r="J16" s="10">
        <v>194</v>
      </c>
      <c r="K16" s="10">
        <v>789</v>
      </c>
      <c r="L16" s="10">
        <v>362</v>
      </c>
      <c r="M16" s="10">
        <v>2140</v>
      </c>
      <c r="N16" s="10">
        <v>846</v>
      </c>
      <c r="O16" s="10">
        <v>199</v>
      </c>
      <c r="P16" s="10">
        <v>831</v>
      </c>
      <c r="Q16" s="10">
        <v>357</v>
      </c>
      <c r="R16" s="10">
        <v>2233</v>
      </c>
      <c r="S16" s="10">
        <v>949</v>
      </c>
      <c r="T16" s="10">
        <v>200</v>
      </c>
      <c r="U16" s="10">
        <v>901</v>
      </c>
      <c r="V16" s="10">
        <v>341</v>
      </c>
      <c r="W16" s="10">
        <v>2391</v>
      </c>
      <c r="X16" s="10">
        <v>962</v>
      </c>
      <c r="Y16" s="10">
        <v>218</v>
      </c>
      <c r="Z16" s="10">
        <v>937</v>
      </c>
      <c r="AA16" s="10">
        <v>328</v>
      </c>
      <c r="AB16" s="10">
        <v>2445</v>
      </c>
      <c r="AC16" s="9">
        <v>986</v>
      </c>
      <c r="AD16" s="9">
        <v>210</v>
      </c>
      <c r="AE16" s="9">
        <v>1022</v>
      </c>
      <c r="AF16" s="9">
        <v>294</v>
      </c>
      <c r="AG16" s="10">
        <f t="shared" si="0"/>
        <v>2512</v>
      </c>
      <c r="AH16" s="9">
        <v>845</v>
      </c>
      <c r="AI16" s="9">
        <v>210</v>
      </c>
      <c r="AJ16" s="9">
        <v>1079</v>
      </c>
      <c r="AK16" s="9">
        <v>260</v>
      </c>
      <c r="AL16" s="9">
        <v>2394</v>
      </c>
      <c r="AM16" s="9">
        <v>841</v>
      </c>
      <c r="AN16" s="9">
        <v>206</v>
      </c>
      <c r="AO16" s="9">
        <v>1132</v>
      </c>
      <c r="AP16" s="9">
        <v>250</v>
      </c>
      <c r="AQ16" s="9">
        <v>2429</v>
      </c>
    </row>
    <row r="17" spans="1:43" x14ac:dyDescent="0.25">
      <c r="A17" s="5" t="s">
        <v>39</v>
      </c>
      <c r="B17" s="5" t="s">
        <v>6</v>
      </c>
      <c r="C17" s="5" t="s">
        <v>40</v>
      </c>
      <c r="D17" s="11">
        <v>856</v>
      </c>
      <c r="E17" s="11">
        <v>410</v>
      </c>
      <c r="F17" s="11">
        <v>796</v>
      </c>
      <c r="G17" s="11">
        <v>507</v>
      </c>
      <c r="H17" s="11">
        <v>2569</v>
      </c>
      <c r="I17" s="11">
        <v>884</v>
      </c>
      <c r="J17" s="11">
        <v>414</v>
      </c>
      <c r="K17" s="11">
        <v>819</v>
      </c>
      <c r="L17" s="11">
        <v>511</v>
      </c>
      <c r="M17" s="11">
        <v>2628</v>
      </c>
      <c r="N17" s="11">
        <v>871</v>
      </c>
      <c r="O17" s="11">
        <v>424</v>
      </c>
      <c r="P17" s="11">
        <v>866</v>
      </c>
      <c r="Q17" s="11">
        <v>559</v>
      </c>
      <c r="R17" s="11">
        <v>2720</v>
      </c>
      <c r="S17" s="11">
        <v>1009</v>
      </c>
      <c r="T17" s="11">
        <v>540</v>
      </c>
      <c r="U17" s="11">
        <v>1240</v>
      </c>
      <c r="V17" s="11">
        <v>349</v>
      </c>
      <c r="W17" s="11">
        <v>3138</v>
      </c>
      <c r="X17" s="11">
        <v>1024</v>
      </c>
      <c r="Y17" s="11">
        <v>599</v>
      </c>
      <c r="Z17" s="11">
        <v>1194</v>
      </c>
      <c r="AA17" s="11">
        <v>354</v>
      </c>
      <c r="AB17" s="11">
        <v>3171</v>
      </c>
      <c r="AC17" s="9">
        <v>1104</v>
      </c>
      <c r="AD17" s="9">
        <v>608</v>
      </c>
      <c r="AE17" s="9">
        <v>1187</v>
      </c>
      <c r="AF17" s="9">
        <v>349</v>
      </c>
      <c r="AG17" s="10">
        <f t="shared" si="0"/>
        <v>3248</v>
      </c>
      <c r="AH17" s="9">
        <v>1108</v>
      </c>
      <c r="AI17" s="9">
        <v>628</v>
      </c>
      <c r="AJ17" s="9">
        <v>1206</v>
      </c>
      <c r="AK17" s="9">
        <v>338</v>
      </c>
      <c r="AL17" s="9">
        <v>3280</v>
      </c>
      <c r="AM17" s="9">
        <v>1166</v>
      </c>
      <c r="AN17" s="9">
        <v>627</v>
      </c>
      <c r="AO17" s="9">
        <v>1278</v>
      </c>
      <c r="AP17" s="9">
        <v>686</v>
      </c>
      <c r="AQ17" s="9">
        <v>3757</v>
      </c>
    </row>
    <row r="18" spans="1:43" x14ac:dyDescent="0.25">
      <c r="A18" s="5" t="s">
        <v>41</v>
      </c>
      <c r="B18" s="5" t="s">
        <v>7</v>
      </c>
      <c r="C18" s="5" t="s">
        <v>42</v>
      </c>
      <c r="D18" s="11">
        <v>1452</v>
      </c>
      <c r="E18" s="11">
        <v>468</v>
      </c>
      <c r="F18" s="11">
        <v>2795</v>
      </c>
      <c r="G18" s="11">
        <v>346</v>
      </c>
      <c r="H18" s="11">
        <v>5061</v>
      </c>
      <c r="I18" s="11">
        <v>1403</v>
      </c>
      <c r="J18" s="11">
        <v>440</v>
      </c>
      <c r="K18" s="11">
        <v>2709</v>
      </c>
      <c r="L18" s="11">
        <v>310</v>
      </c>
      <c r="M18" s="11">
        <v>4862</v>
      </c>
      <c r="N18" s="11">
        <v>1470</v>
      </c>
      <c r="O18" s="11">
        <v>394</v>
      </c>
      <c r="P18" s="11">
        <v>2311</v>
      </c>
      <c r="Q18" s="11">
        <v>277</v>
      </c>
      <c r="R18" s="11">
        <v>4452</v>
      </c>
      <c r="S18" s="11">
        <v>1399</v>
      </c>
      <c r="T18" s="11">
        <v>363</v>
      </c>
      <c r="U18" s="11">
        <v>1809</v>
      </c>
      <c r="V18" s="11">
        <v>274</v>
      </c>
      <c r="W18" s="11">
        <v>3845</v>
      </c>
      <c r="X18" s="11">
        <v>1376</v>
      </c>
      <c r="Y18" s="11">
        <v>324</v>
      </c>
      <c r="Z18" s="11">
        <v>1773</v>
      </c>
      <c r="AA18" s="11">
        <v>233</v>
      </c>
      <c r="AB18" s="11">
        <v>3706</v>
      </c>
      <c r="AC18" s="9">
        <v>1348</v>
      </c>
      <c r="AD18" s="9">
        <v>327</v>
      </c>
      <c r="AE18" s="9">
        <v>1538</v>
      </c>
      <c r="AF18" s="9">
        <v>396</v>
      </c>
      <c r="AG18" s="10">
        <f t="shared" si="0"/>
        <v>3609</v>
      </c>
      <c r="AH18" s="9">
        <v>1341</v>
      </c>
      <c r="AI18" s="9">
        <v>310</v>
      </c>
      <c r="AJ18" s="9">
        <v>1514</v>
      </c>
      <c r="AK18" s="9">
        <v>421</v>
      </c>
      <c r="AL18" s="9">
        <v>3586</v>
      </c>
      <c r="AM18" s="9">
        <v>1341</v>
      </c>
      <c r="AN18" s="9">
        <v>325</v>
      </c>
      <c r="AO18" s="9">
        <v>1480</v>
      </c>
      <c r="AP18" s="9">
        <v>1341</v>
      </c>
      <c r="AQ18" s="9">
        <v>4487</v>
      </c>
    </row>
    <row r="19" spans="1:43" x14ac:dyDescent="0.25">
      <c r="A19" s="5" t="s">
        <v>43</v>
      </c>
      <c r="B19" s="5" t="s">
        <v>44</v>
      </c>
      <c r="C19" s="5" t="s">
        <v>45</v>
      </c>
      <c r="D19" s="11">
        <v>746</v>
      </c>
      <c r="E19" s="11">
        <v>135</v>
      </c>
      <c r="F19" s="11">
        <v>493</v>
      </c>
      <c r="G19" s="11">
        <v>349</v>
      </c>
      <c r="H19" s="11">
        <v>1723</v>
      </c>
      <c r="I19" s="11">
        <v>770</v>
      </c>
      <c r="J19" s="11">
        <v>135</v>
      </c>
      <c r="K19" s="11">
        <v>488</v>
      </c>
      <c r="L19" s="11">
        <v>339</v>
      </c>
      <c r="M19" s="11">
        <v>1732</v>
      </c>
      <c r="N19" s="11">
        <v>806</v>
      </c>
      <c r="O19" s="11">
        <v>139</v>
      </c>
      <c r="P19" s="11">
        <v>509</v>
      </c>
      <c r="Q19" s="11">
        <v>326</v>
      </c>
      <c r="R19" s="11">
        <v>1780</v>
      </c>
      <c r="S19" s="11">
        <v>823</v>
      </c>
      <c r="T19" s="11">
        <v>150</v>
      </c>
      <c r="U19" s="11">
        <v>534</v>
      </c>
      <c r="V19" s="11">
        <v>304</v>
      </c>
      <c r="W19" s="11">
        <v>1811</v>
      </c>
      <c r="X19" s="11">
        <v>884</v>
      </c>
      <c r="Y19" s="11">
        <v>143</v>
      </c>
      <c r="Z19" s="11">
        <v>567</v>
      </c>
      <c r="AA19" s="11">
        <v>293</v>
      </c>
      <c r="AB19" s="11">
        <v>1887</v>
      </c>
      <c r="AC19" s="9">
        <v>941</v>
      </c>
      <c r="AD19" s="9">
        <v>157</v>
      </c>
      <c r="AE19" s="9">
        <v>584</v>
      </c>
      <c r="AF19" s="9">
        <v>266</v>
      </c>
      <c r="AG19" s="10">
        <f t="shared" si="0"/>
        <v>1948</v>
      </c>
      <c r="AH19" s="9">
        <v>543</v>
      </c>
      <c r="AI19" s="9">
        <v>81</v>
      </c>
      <c r="AJ19" s="9">
        <v>372</v>
      </c>
      <c r="AK19" s="9">
        <v>70</v>
      </c>
      <c r="AL19" s="9">
        <v>1066</v>
      </c>
      <c r="AM19" s="9">
        <v>563</v>
      </c>
      <c r="AN19" s="9">
        <v>102</v>
      </c>
      <c r="AO19" s="9">
        <v>377</v>
      </c>
      <c r="AP19" s="9">
        <v>77</v>
      </c>
      <c r="AQ19" s="9">
        <v>1119</v>
      </c>
    </row>
    <row r="20" spans="1:43" x14ac:dyDescent="0.25">
      <c r="A20" s="5" t="s">
        <v>46</v>
      </c>
      <c r="B20" s="5" t="s">
        <v>83</v>
      </c>
      <c r="C20" s="5" t="s">
        <v>47</v>
      </c>
      <c r="D20" s="11">
        <v>569</v>
      </c>
      <c r="E20" s="11">
        <v>256</v>
      </c>
      <c r="F20" s="11">
        <v>595</v>
      </c>
      <c r="G20" s="11">
        <v>171</v>
      </c>
      <c r="H20" s="11">
        <v>1591</v>
      </c>
      <c r="I20" s="11">
        <v>574</v>
      </c>
      <c r="J20" s="11">
        <v>281</v>
      </c>
      <c r="K20" s="11">
        <v>591</v>
      </c>
      <c r="L20" s="11">
        <v>165</v>
      </c>
      <c r="M20" s="11">
        <v>1611</v>
      </c>
      <c r="N20" s="11">
        <v>579</v>
      </c>
      <c r="O20" s="11">
        <v>302</v>
      </c>
      <c r="P20" s="11">
        <v>580</v>
      </c>
      <c r="Q20" s="11">
        <v>156</v>
      </c>
      <c r="R20" s="11">
        <v>1617</v>
      </c>
      <c r="S20" s="11">
        <v>596</v>
      </c>
      <c r="T20" s="11">
        <v>316</v>
      </c>
      <c r="U20" s="11">
        <v>576</v>
      </c>
      <c r="V20" s="11">
        <v>155</v>
      </c>
      <c r="W20" s="11">
        <v>1643</v>
      </c>
      <c r="X20" s="11">
        <v>606</v>
      </c>
      <c r="Y20" s="11">
        <v>328</v>
      </c>
      <c r="Z20" s="11">
        <v>587</v>
      </c>
      <c r="AA20" s="11">
        <v>152</v>
      </c>
      <c r="AB20" s="11">
        <v>1673</v>
      </c>
      <c r="AC20" s="9">
        <v>604</v>
      </c>
      <c r="AD20" s="9">
        <v>345</v>
      </c>
      <c r="AE20" s="9">
        <v>609</v>
      </c>
      <c r="AF20" s="9">
        <v>152</v>
      </c>
      <c r="AG20" s="10">
        <f t="shared" si="0"/>
        <v>1710</v>
      </c>
      <c r="AH20" s="9">
        <v>624</v>
      </c>
      <c r="AI20" s="9">
        <v>358</v>
      </c>
      <c r="AJ20" s="9">
        <v>710</v>
      </c>
      <c r="AK20" s="9">
        <v>148</v>
      </c>
      <c r="AL20" s="9">
        <v>1840</v>
      </c>
      <c r="AM20" s="9">
        <v>623</v>
      </c>
      <c r="AN20" s="9">
        <v>363</v>
      </c>
      <c r="AO20" s="9">
        <v>767</v>
      </c>
      <c r="AP20" s="9">
        <v>401</v>
      </c>
      <c r="AQ20" s="9">
        <v>2154</v>
      </c>
    </row>
    <row r="21" spans="1:43" x14ac:dyDescent="0.25">
      <c r="A21" s="5" t="s">
        <v>48</v>
      </c>
      <c r="B21" s="5" t="s">
        <v>9</v>
      </c>
      <c r="C21" s="5" t="s">
        <v>49</v>
      </c>
      <c r="D21" s="8">
        <v>996</v>
      </c>
      <c r="E21" s="8">
        <v>375</v>
      </c>
      <c r="F21" s="8">
        <v>1086</v>
      </c>
      <c r="G21" s="8">
        <v>396</v>
      </c>
      <c r="H21" s="8">
        <v>2853</v>
      </c>
      <c r="I21" s="8">
        <v>1086</v>
      </c>
      <c r="J21" s="8">
        <v>371</v>
      </c>
      <c r="K21" s="8">
        <v>1124</v>
      </c>
      <c r="L21" s="8">
        <v>399</v>
      </c>
      <c r="M21" s="8">
        <v>2980</v>
      </c>
      <c r="N21" s="8">
        <v>1194</v>
      </c>
      <c r="O21" s="8">
        <v>380</v>
      </c>
      <c r="P21" s="8">
        <v>1190</v>
      </c>
      <c r="Q21" s="8">
        <v>396</v>
      </c>
      <c r="R21" s="8">
        <v>3160</v>
      </c>
      <c r="S21" s="8">
        <v>1248</v>
      </c>
      <c r="T21" s="8">
        <v>391</v>
      </c>
      <c r="U21" s="8">
        <v>1256</v>
      </c>
      <c r="V21" s="8">
        <v>392</v>
      </c>
      <c r="W21" s="8">
        <v>3287</v>
      </c>
      <c r="X21" s="8">
        <v>1288</v>
      </c>
      <c r="Y21" s="8">
        <v>448</v>
      </c>
      <c r="Z21" s="8">
        <v>1334</v>
      </c>
      <c r="AA21" s="8">
        <v>407</v>
      </c>
      <c r="AB21" s="8">
        <v>3477</v>
      </c>
      <c r="AC21" s="9">
        <v>1342</v>
      </c>
      <c r="AD21" s="9">
        <v>477</v>
      </c>
      <c r="AE21" s="9">
        <v>1461</v>
      </c>
      <c r="AF21" s="9">
        <v>406</v>
      </c>
      <c r="AG21" s="10">
        <f t="shared" si="0"/>
        <v>3686</v>
      </c>
      <c r="AH21" s="9">
        <v>1453</v>
      </c>
      <c r="AI21" s="9">
        <v>518</v>
      </c>
      <c r="AJ21" s="9">
        <v>1506</v>
      </c>
      <c r="AK21" s="9">
        <v>387</v>
      </c>
      <c r="AL21" s="9">
        <v>3864</v>
      </c>
      <c r="AM21" s="9">
        <v>1470</v>
      </c>
      <c r="AN21" s="9">
        <v>538</v>
      </c>
      <c r="AO21" s="9">
        <v>1496</v>
      </c>
      <c r="AP21" s="9">
        <v>382</v>
      </c>
      <c r="AQ21" s="9">
        <v>3886</v>
      </c>
    </row>
    <row r="22" spans="1:43" x14ac:dyDescent="0.25">
      <c r="A22" s="5" t="s">
        <v>50</v>
      </c>
      <c r="B22" s="5" t="s">
        <v>10</v>
      </c>
      <c r="C22" s="5" t="s">
        <v>51</v>
      </c>
      <c r="D22" s="11">
        <v>1635</v>
      </c>
      <c r="E22" s="11">
        <v>586</v>
      </c>
      <c r="F22" s="11">
        <v>828</v>
      </c>
      <c r="G22" s="11">
        <v>513</v>
      </c>
      <c r="H22" s="11">
        <v>3562</v>
      </c>
      <c r="I22" s="11">
        <v>1691</v>
      </c>
      <c r="J22" s="11">
        <v>636</v>
      </c>
      <c r="K22" s="11">
        <v>849</v>
      </c>
      <c r="L22" s="11">
        <v>486</v>
      </c>
      <c r="M22" s="11">
        <v>3662</v>
      </c>
      <c r="N22" s="11">
        <v>1281</v>
      </c>
      <c r="O22" s="11">
        <v>639</v>
      </c>
      <c r="P22" s="11">
        <v>808</v>
      </c>
      <c r="Q22" s="11">
        <v>461</v>
      </c>
      <c r="R22" s="11">
        <v>3189</v>
      </c>
      <c r="S22" s="11">
        <v>1279</v>
      </c>
      <c r="T22" s="11">
        <v>677</v>
      </c>
      <c r="U22" s="11">
        <v>817</v>
      </c>
      <c r="V22" s="11">
        <v>439</v>
      </c>
      <c r="W22" s="11">
        <v>3212</v>
      </c>
      <c r="X22" s="11">
        <v>1300</v>
      </c>
      <c r="Y22" s="11">
        <v>703</v>
      </c>
      <c r="Z22" s="11">
        <v>842</v>
      </c>
      <c r="AA22" s="11">
        <v>415</v>
      </c>
      <c r="AB22" s="11">
        <v>3260</v>
      </c>
      <c r="AC22" s="9">
        <v>1176</v>
      </c>
      <c r="AD22" s="9">
        <v>811</v>
      </c>
      <c r="AE22" s="9">
        <v>1005</v>
      </c>
      <c r="AF22" s="9">
        <v>414</v>
      </c>
      <c r="AG22" s="10">
        <f t="shared" si="0"/>
        <v>3406</v>
      </c>
      <c r="AH22" s="9">
        <v>1192</v>
      </c>
      <c r="AI22" s="9">
        <v>825</v>
      </c>
      <c r="AJ22" s="9">
        <v>1027</v>
      </c>
      <c r="AK22" s="9">
        <v>276</v>
      </c>
      <c r="AL22" s="9">
        <v>3320</v>
      </c>
      <c r="AM22" s="9">
        <v>1271</v>
      </c>
      <c r="AN22" s="9">
        <v>892</v>
      </c>
      <c r="AO22" s="9">
        <v>1040</v>
      </c>
      <c r="AP22" s="9">
        <v>767</v>
      </c>
      <c r="AQ22" s="9">
        <v>3970</v>
      </c>
    </row>
    <row r="23" spans="1:43" x14ac:dyDescent="0.25">
      <c r="A23" s="5" t="s">
        <v>52</v>
      </c>
      <c r="B23" s="5" t="s">
        <v>11</v>
      </c>
      <c r="C23" s="5" t="s">
        <v>53</v>
      </c>
      <c r="D23" s="11">
        <v>322</v>
      </c>
      <c r="E23" s="11">
        <v>124</v>
      </c>
      <c r="F23" s="11">
        <v>304</v>
      </c>
      <c r="G23" s="11">
        <v>577</v>
      </c>
      <c r="H23" s="11">
        <v>1327</v>
      </c>
      <c r="I23" s="11">
        <v>321</v>
      </c>
      <c r="J23" s="11">
        <v>104</v>
      </c>
      <c r="K23" s="11">
        <v>414</v>
      </c>
      <c r="L23" s="11">
        <v>470</v>
      </c>
      <c r="M23" s="11">
        <v>1309</v>
      </c>
      <c r="N23" s="11">
        <v>319</v>
      </c>
      <c r="O23" s="11">
        <v>139</v>
      </c>
      <c r="P23" s="11">
        <v>393</v>
      </c>
      <c r="Q23" s="11">
        <v>469</v>
      </c>
      <c r="R23" s="11">
        <v>1320</v>
      </c>
      <c r="S23" s="11">
        <v>336</v>
      </c>
      <c r="T23" s="11">
        <v>135</v>
      </c>
      <c r="U23" s="11">
        <v>350</v>
      </c>
      <c r="V23" s="11">
        <v>513</v>
      </c>
      <c r="W23" s="11">
        <v>1334</v>
      </c>
      <c r="X23" s="11">
        <v>351</v>
      </c>
      <c r="Y23" s="11">
        <v>122</v>
      </c>
      <c r="Z23" s="11">
        <v>370</v>
      </c>
      <c r="AA23" s="11">
        <v>506</v>
      </c>
      <c r="AB23" s="11">
        <v>1349</v>
      </c>
      <c r="AC23" s="9">
        <v>351</v>
      </c>
      <c r="AD23" s="9">
        <v>125</v>
      </c>
      <c r="AE23" s="9">
        <v>361</v>
      </c>
      <c r="AF23" s="9">
        <v>514</v>
      </c>
      <c r="AG23" s="10">
        <f t="shared" si="0"/>
        <v>1351</v>
      </c>
      <c r="AH23" s="9">
        <v>318</v>
      </c>
      <c r="AI23" s="9">
        <v>126</v>
      </c>
      <c r="AJ23" s="9">
        <v>372</v>
      </c>
      <c r="AK23" s="9">
        <v>520</v>
      </c>
      <c r="AL23" s="9">
        <v>1336</v>
      </c>
      <c r="AM23" s="9">
        <v>318</v>
      </c>
      <c r="AN23" s="9">
        <v>124</v>
      </c>
      <c r="AO23" s="9">
        <v>393</v>
      </c>
      <c r="AP23" s="9">
        <v>487</v>
      </c>
      <c r="AQ23" s="9">
        <v>1322</v>
      </c>
    </row>
    <row r="24" spans="1:43" x14ac:dyDescent="0.25">
      <c r="A24" s="5" t="s">
        <v>54</v>
      </c>
      <c r="B24" s="5" t="s">
        <v>12</v>
      </c>
      <c r="C24" s="5" t="s">
        <v>55</v>
      </c>
      <c r="D24" s="11">
        <v>1391</v>
      </c>
      <c r="E24" s="11">
        <v>748</v>
      </c>
      <c r="F24" s="11">
        <v>1739</v>
      </c>
      <c r="G24" s="11">
        <v>407</v>
      </c>
      <c r="H24" s="11">
        <v>4285</v>
      </c>
      <c r="I24" s="11">
        <v>1404</v>
      </c>
      <c r="J24" s="11">
        <v>693</v>
      </c>
      <c r="K24" s="11">
        <v>1946</v>
      </c>
      <c r="L24" s="11">
        <v>382</v>
      </c>
      <c r="M24" s="11">
        <v>4425</v>
      </c>
      <c r="N24" s="11">
        <v>1515</v>
      </c>
      <c r="O24" s="11">
        <v>314</v>
      </c>
      <c r="P24" s="11">
        <v>2585</v>
      </c>
      <c r="Q24" s="11">
        <v>250</v>
      </c>
      <c r="R24" s="11">
        <v>4664</v>
      </c>
      <c r="S24" s="11">
        <v>1588</v>
      </c>
      <c r="T24" s="11">
        <v>346</v>
      </c>
      <c r="U24" s="11">
        <v>2647</v>
      </c>
      <c r="V24" s="11">
        <v>233</v>
      </c>
      <c r="W24" s="11">
        <v>4814</v>
      </c>
      <c r="X24" s="11">
        <v>1631</v>
      </c>
      <c r="Y24" s="11">
        <v>347</v>
      </c>
      <c r="Z24" s="11">
        <v>2666</v>
      </c>
      <c r="AA24" s="11">
        <v>203</v>
      </c>
      <c r="AB24" s="11">
        <v>4847</v>
      </c>
      <c r="AC24" s="9">
        <v>1718</v>
      </c>
      <c r="AD24" s="9">
        <v>359</v>
      </c>
      <c r="AE24" s="9">
        <v>2674</v>
      </c>
      <c r="AF24" s="9">
        <v>202</v>
      </c>
      <c r="AG24" s="10">
        <f t="shared" si="0"/>
        <v>4953</v>
      </c>
      <c r="AH24" s="9">
        <v>1715</v>
      </c>
      <c r="AI24" s="9">
        <v>339</v>
      </c>
      <c r="AJ24" s="9">
        <v>2731</v>
      </c>
      <c r="AK24" s="9">
        <v>192</v>
      </c>
      <c r="AL24" s="9">
        <v>4977</v>
      </c>
      <c r="AM24" s="9">
        <v>1794</v>
      </c>
      <c r="AN24" s="9">
        <v>335</v>
      </c>
      <c r="AO24" s="9">
        <v>2762</v>
      </c>
      <c r="AP24" s="9">
        <v>440</v>
      </c>
      <c r="AQ24" s="9">
        <v>5331</v>
      </c>
    </row>
    <row r="25" spans="1:43" x14ac:dyDescent="0.25">
      <c r="A25" s="5" t="s">
        <v>56</v>
      </c>
      <c r="B25" s="5" t="s">
        <v>13</v>
      </c>
      <c r="C25" s="5" t="s">
        <v>57</v>
      </c>
      <c r="D25" s="11">
        <v>873</v>
      </c>
      <c r="E25" s="11">
        <v>305</v>
      </c>
      <c r="F25" s="11">
        <v>1198</v>
      </c>
      <c r="G25" s="11">
        <v>292</v>
      </c>
      <c r="H25" s="11">
        <v>2668</v>
      </c>
      <c r="I25" s="11">
        <v>917</v>
      </c>
      <c r="J25" s="11">
        <v>360</v>
      </c>
      <c r="K25" s="11">
        <v>1268</v>
      </c>
      <c r="L25" s="11">
        <v>285</v>
      </c>
      <c r="M25" s="11">
        <v>2830</v>
      </c>
      <c r="N25" s="11">
        <v>939</v>
      </c>
      <c r="O25" s="11">
        <v>407</v>
      </c>
      <c r="P25" s="11">
        <v>1310</v>
      </c>
      <c r="Q25" s="11">
        <v>272</v>
      </c>
      <c r="R25" s="11">
        <v>2928</v>
      </c>
      <c r="S25" s="11">
        <v>973</v>
      </c>
      <c r="T25" s="11">
        <v>472</v>
      </c>
      <c r="U25" s="11">
        <v>1338</v>
      </c>
      <c r="V25" s="11">
        <v>267</v>
      </c>
      <c r="W25" s="11">
        <v>3050</v>
      </c>
      <c r="X25" s="11">
        <v>1006</v>
      </c>
      <c r="Y25" s="11">
        <v>492</v>
      </c>
      <c r="Z25" s="11">
        <v>1390</v>
      </c>
      <c r="AA25" s="11">
        <v>278</v>
      </c>
      <c r="AB25" s="11">
        <v>3166</v>
      </c>
      <c r="AC25" s="9">
        <v>1035</v>
      </c>
      <c r="AD25" s="9">
        <v>478</v>
      </c>
      <c r="AE25" s="9">
        <v>1418</v>
      </c>
      <c r="AF25" s="9">
        <v>262</v>
      </c>
      <c r="AG25" s="10">
        <f t="shared" si="0"/>
        <v>3193</v>
      </c>
      <c r="AH25" s="9">
        <v>1076</v>
      </c>
      <c r="AI25" s="9">
        <v>484</v>
      </c>
      <c r="AJ25" s="9">
        <v>1495</v>
      </c>
      <c r="AK25" s="9">
        <v>261</v>
      </c>
      <c r="AL25" s="9">
        <v>3316</v>
      </c>
      <c r="AM25" s="9">
        <v>1122</v>
      </c>
      <c r="AN25" s="9">
        <v>521</v>
      </c>
      <c r="AO25" s="9">
        <v>1625</v>
      </c>
      <c r="AP25" s="9">
        <v>273</v>
      </c>
      <c r="AQ25" s="9">
        <v>3541</v>
      </c>
    </row>
    <row r="26" spans="1:43" x14ac:dyDescent="0.25">
      <c r="A26" s="5" t="s">
        <v>58</v>
      </c>
      <c r="B26" s="5" t="s">
        <v>14</v>
      </c>
      <c r="C26" s="5" t="s">
        <v>59</v>
      </c>
      <c r="D26" s="11">
        <v>797</v>
      </c>
      <c r="E26" s="11">
        <v>225</v>
      </c>
      <c r="F26" s="11">
        <v>936</v>
      </c>
      <c r="G26" s="11">
        <v>383</v>
      </c>
      <c r="H26" s="11">
        <v>2341</v>
      </c>
      <c r="I26" s="11">
        <v>820</v>
      </c>
      <c r="J26" s="11">
        <v>229</v>
      </c>
      <c r="K26" s="11">
        <v>1016</v>
      </c>
      <c r="L26" s="11">
        <v>354</v>
      </c>
      <c r="M26" s="11">
        <v>2419</v>
      </c>
      <c r="N26" s="11">
        <v>836</v>
      </c>
      <c r="O26" s="11">
        <v>239</v>
      </c>
      <c r="P26" s="11">
        <v>1184</v>
      </c>
      <c r="Q26" s="11">
        <v>189</v>
      </c>
      <c r="R26" s="11">
        <v>2448</v>
      </c>
      <c r="S26" s="11">
        <v>855</v>
      </c>
      <c r="T26" s="11">
        <v>246</v>
      </c>
      <c r="U26" s="11">
        <v>1201</v>
      </c>
      <c r="V26" s="11">
        <v>172</v>
      </c>
      <c r="W26" s="11">
        <v>2474</v>
      </c>
      <c r="X26" s="11">
        <v>917</v>
      </c>
      <c r="Y26" s="11">
        <v>225</v>
      </c>
      <c r="Z26" s="11">
        <v>1229</v>
      </c>
      <c r="AA26" s="11">
        <v>156</v>
      </c>
      <c r="AB26" s="11">
        <v>2527</v>
      </c>
      <c r="AC26" s="9">
        <v>951</v>
      </c>
      <c r="AD26" s="9">
        <v>214</v>
      </c>
      <c r="AE26" s="9">
        <v>1321</v>
      </c>
      <c r="AF26" s="9">
        <v>155</v>
      </c>
      <c r="AG26" s="10">
        <f t="shared" si="0"/>
        <v>2641</v>
      </c>
      <c r="AH26" s="9">
        <v>963</v>
      </c>
      <c r="AI26" s="9">
        <v>217</v>
      </c>
      <c r="AJ26" s="9">
        <v>1471</v>
      </c>
      <c r="AK26" s="9">
        <v>151</v>
      </c>
      <c r="AL26" s="9">
        <v>2802</v>
      </c>
      <c r="AM26" s="9">
        <v>961</v>
      </c>
      <c r="AN26" s="9">
        <v>216</v>
      </c>
      <c r="AO26" s="9">
        <v>1468</v>
      </c>
      <c r="AP26" s="9">
        <v>444</v>
      </c>
      <c r="AQ26" s="9">
        <v>3089</v>
      </c>
    </row>
    <row r="27" spans="1:43" x14ac:dyDescent="0.25">
      <c r="A27" s="5" t="s">
        <v>60</v>
      </c>
      <c r="B27" s="5" t="s">
        <v>16</v>
      </c>
      <c r="C27" s="5" t="s">
        <v>61</v>
      </c>
      <c r="D27" s="11">
        <v>302</v>
      </c>
      <c r="E27" s="11">
        <v>96</v>
      </c>
      <c r="F27" s="11">
        <v>202</v>
      </c>
      <c r="G27" s="11">
        <v>190</v>
      </c>
      <c r="H27" s="11">
        <v>790</v>
      </c>
      <c r="I27" s="11">
        <v>321</v>
      </c>
      <c r="J27" s="11">
        <v>92</v>
      </c>
      <c r="K27" s="11">
        <v>207</v>
      </c>
      <c r="L27" s="11">
        <v>183</v>
      </c>
      <c r="M27" s="11">
        <v>803</v>
      </c>
      <c r="N27" s="11">
        <v>325</v>
      </c>
      <c r="O27" s="11">
        <v>88</v>
      </c>
      <c r="P27" s="11">
        <v>206</v>
      </c>
      <c r="Q27" s="11">
        <v>167</v>
      </c>
      <c r="R27" s="11">
        <v>786</v>
      </c>
      <c r="S27" s="11">
        <v>329</v>
      </c>
      <c r="T27" s="11">
        <v>89</v>
      </c>
      <c r="U27" s="11">
        <v>223</v>
      </c>
      <c r="V27" s="11">
        <v>158</v>
      </c>
      <c r="W27" s="11">
        <v>799</v>
      </c>
      <c r="X27" s="11">
        <v>337</v>
      </c>
      <c r="Y27" s="11">
        <v>86</v>
      </c>
      <c r="Z27" s="11">
        <v>231</v>
      </c>
      <c r="AA27" s="11">
        <v>149</v>
      </c>
      <c r="AB27" s="11">
        <v>803</v>
      </c>
      <c r="AC27" s="9">
        <v>372</v>
      </c>
      <c r="AD27" s="9">
        <v>84</v>
      </c>
      <c r="AE27" s="9">
        <v>256</v>
      </c>
      <c r="AF27" s="9">
        <v>138</v>
      </c>
      <c r="AG27" s="10">
        <f t="shared" si="0"/>
        <v>850</v>
      </c>
      <c r="AH27" s="9">
        <v>388</v>
      </c>
      <c r="AI27" s="9">
        <v>85</v>
      </c>
      <c r="AJ27" s="9">
        <v>304</v>
      </c>
      <c r="AK27" s="9">
        <v>124</v>
      </c>
      <c r="AL27" s="9">
        <v>901</v>
      </c>
      <c r="AM27" s="9">
        <v>434</v>
      </c>
      <c r="AN27" s="9">
        <v>86</v>
      </c>
      <c r="AO27" s="9">
        <v>323</v>
      </c>
      <c r="AP27" s="9">
        <v>111</v>
      </c>
      <c r="AQ27" s="9">
        <v>954</v>
      </c>
    </row>
    <row r="28" spans="1:43" x14ac:dyDescent="0.25">
      <c r="A28" s="5" t="s">
        <v>62</v>
      </c>
      <c r="B28" s="5" t="s">
        <v>15</v>
      </c>
      <c r="C28" s="5" t="s">
        <v>63</v>
      </c>
      <c r="D28" s="11">
        <v>309</v>
      </c>
      <c r="E28" s="11">
        <v>129</v>
      </c>
      <c r="F28" s="11">
        <v>272</v>
      </c>
      <c r="G28" s="11">
        <v>247</v>
      </c>
      <c r="H28" s="11">
        <v>957</v>
      </c>
      <c r="I28" s="11">
        <v>322</v>
      </c>
      <c r="J28" s="11">
        <v>134</v>
      </c>
      <c r="K28" s="11">
        <v>273</v>
      </c>
      <c r="L28" s="11">
        <v>237</v>
      </c>
      <c r="M28" s="11">
        <v>966</v>
      </c>
      <c r="N28" s="11">
        <v>334</v>
      </c>
      <c r="O28" s="11">
        <v>147</v>
      </c>
      <c r="P28" s="11">
        <v>271</v>
      </c>
      <c r="Q28" s="11">
        <v>247</v>
      </c>
      <c r="R28" s="11">
        <v>999</v>
      </c>
      <c r="S28" s="11">
        <v>341</v>
      </c>
      <c r="T28" s="11">
        <v>153</v>
      </c>
      <c r="U28" s="11">
        <v>282</v>
      </c>
      <c r="V28" s="11">
        <v>238</v>
      </c>
      <c r="W28" s="11">
        <v>1014</v>
      </c>
      <c r="X28" s="11">
        <v>361</v>
      </c>
      <c r="Y28" s="11">
        <v>172</v>
      </c>
      <c r="Z28" s="11">
        <v>268</v>
      </c>
      <c r="AA28" s="11">
        <v>221</v>
      </c>
      <c r="AB28" s="11">
        <v>1022</v>
      </c>
      <c r="AC28" s="9">
        <v>378</v>
      </c>
      <c r="AD28" s="9">
        <v>217</v>
      </c>
      <c r="AE28" s="9">
        <v>239</v>
      </c>
      <c r="AF28" s="9">
        <v>224</v>
      </c>
      <c r="AG28" s="10">
        <f t="shared" si="0"/>
        <v>1058</v>
      </c>
      <c r="AH28" s="9">
        <v>367</v>
      </c>
      <c r="AI28" s="9">
        <v>236</v>
      </c>
      <c r="AJ28" s="9">
        <v>277</v>
      </c>
      <c r="AK28" s="9">
        <v>237</v>
      </c>
      <c r="AL28" s="9">
        <v>1117</v>
      </c>
      <c r="AM28" s="9">
        <v>387</v>
      </c>
      <c r="AN28" s="9">
        <v>226</v>
      </c>
      <c r="AO28" s="9">
        <v>309</v>
      </c>
      <c r="AP28" s="9">
        <v>224</v>
      </c>
      <c r="AQ28" s="9">
        <v>1146</v>
      </c>
    </row>
    <row r="29" spans="1:43" x14ac:dyDescent="0.25">
      <c r="A29" s="5" t="s">
        <v>64</v>
      </c>
      <c r="B29" s="5" t="s">
        <v>17</v>
      </c>
      <c r="C29" s="5" t="s">
        <v>65</v>
      </c>
      <c r="D29" s="11">
        <v>576</v>
      </c>
      <c r="E29" s="11">
        <v>150</v>
      </c>
      <c r="F29" s="11">
        <v>452</v>
      </c>
      <c r="G29" s="11">
        <v>201</v>
      </c>
      <c r="H29" s="11">
        <v>1379</v>
      </c>
      <c r="I29" s="11">
        <v>608</v>
      </c>
      <c r="J29" s="11">
        <v>148</v>
      </c>
      <c r="K29" s="11">
        <v>462</v>
      </c>
      <c r="L29" s="11">
        <v>292</v>
      </c>
      <c r="M29" s="11">
        <v>1510</v>
      </c>
      <c r="N29" s="11">
        <v>607</v>
      </c>
      <c r="O29" s="11">
        <v>146</v>
      </c>
      <c r="P29" s="11">
        <v>480</v>
      </c>
      <c r="Q29" s="11">
        <v>276</v>
      </c>
      <c r="R29" s="11">
        <v>1509</v>
      </c>
      <c r="S29" s="11">
        <v>582</v>
      </c>
      <c r="T29" s="11">
        <v>128</v>
      </c>
      <c r="U29" s="11">
        <v>465</v>
      </c>
      <c r="V29" s="11">
        <v>260</v>
      </c>
      <c r="W29" s="11">
        <v>1435</v>
      </c>
      <c r="X29" s="11">
        <v>576</v>
      </c>
      <c r="Y29" s="11">
        <v>128</v>
      </c>
      <c r="Z29" s="11">
        <v>454</v>
      </c>
      <c r="AA29" s="11">
        <v>245</v>
      </c>
      <c r="AB29" s="11">
        <v>1403</v>
      </c>
      <c r="AC29" s="9">
        <v>591</v>
      </c>
      <c r="AD29" s="9">
        <v>138</v>
      </c>
      <c r="AE29" s="9">
        <v>444</v>
      </c>
      <c r="AF29" s="9">
        <v>229</v>
      </c>
      <c r="AG29" s="10">
        <f t="shared" si="0"/>
        <v>1402</v>
      </c>
      <c r="AH29" s="9">
        <v>582</v>
      </c>
      <c r="AI29" s="9">
        <v>121</v>
      </c>
      <c r="AJ29" s="9">
        <v>430</v>
      </c>
      <c r="AK29" s="9">
        <v>206</v>
      </c>
      <c r="AL29" s="9">
        <v>1339</v>
      </c>
      <c r="AM29" s="9">
        <v>571</v>
      </c>
      <c r="AN29" s="9">
        <v>113</v>
      </c>
      <c r="AO29" s="9">
        <v>455</v>
      </c>
      <c r="AP29" s="9">
        <v>256</v>
      </c>
      <c r="AQ29" s="9">
        <v>1395</v>
      </c>
    </row>
    <row r="30" spans="1:43" x14ac:dyDescent="0.25">
      <c r="A30" s="5" t="s">
        <v>66</v>
      </c>
      <c r="B30" s="5" t="s">
        <v>18</v>
      </c>
      <c r="C30" s="5" t="s">
        <v>67</v>
      </c>
      <c r="D30" s="11">
        <v>524</v>
      </c>
      <c r="E30" s="11">
        <v>112</v>
      </c>
      <c r="F30" s="11">
        <v>578</v>
      </c>
      <c r="G30" s="11">
        <v>110</v>
      </c>
      <c r="H30" s="11">
        <v>1324</v>
      </c>
      <c r="I30" s="11">
        <v>509</v>
      </c>
      <c r="J30" s="11">
        <v>123</v>
      </c>
      <c r="K30" s="11">
        <v>579</v>
      </c>
      <c r="L30" s="11">
        <v>98</v>
      </c>
      <c r="M30" s="11">
        <v>1309</v>
      </c>
      <c r="N30" s="11">
        <v>536</v>
      </c>
      <c r="O30" s="11">
        <v>136</v>
      </c>
      <c r="P30" s="11">
        <v>619</v>
      </c>
      <c r="Q30" s="11">
        <v>98</v>
      </c>
      <c r="R30" s="11">
        <v>1389</v>
      </c>
      <c r="S30" s="11">
        <v>559</v>
      </c>
      <c r="T30" s="11">
        <v>162</v>
      </c>
      <c r="U30" s="11">
        <v>674</v>
      </c>
      <c r="V30" s="11">
        <v>72</v>
      </c>
      <c r="W30" s="11">
        <v>1467</v>
      </c>
      <c r="X30" s="11">
        <v>574</v>
      </c>
      <c r="Y30" s="11">
        <v>178</v>
      </c>
      <c r="Z30" s="11">
        <v>707</v>
      </c>
      <c r="AA30" s="11">
        <v>70</v>
      </c>
      <c r="AB30" s="11">
        <v>1529</v>
      </c>
      <c r="AC30" s="9">
        <v>615</v>
      </c>
      <c r="AD30" s="9">
        <v>166</v>
      </c>
      <c r="AE30" s="9">
        <v>746</v>
      </c>
      <c r="AF30" s="9">
        <v>69</v>
      </c>
      <c r="AG30" s="10">
        <f t="shared" si="0"/>
        <v>1596</v>
      </c>
      <c r="AH30" s="9">
        <v>645</v>
      </c>
      <c r="AI30" s="9">
        <v>185</v>
      </c>
      <c r="AJ30" s="9">
        <v>762</v>
      </c>
      <c r="AK30" s="9">
        <v>72</v>
      </c>
      <c r="AL30" s="9">
        <v>1664</v>
      </c>
      <c r="AM30" s="9">
        <v>678</v>
      </c>
      <c r="AN30" s="9">
        <v>179</v>
      </c>
      <c r="AO30" s="9">
        <v>701</v>
      </c>
      <c r="AP30" s="9">
        <v>73</v>
      </c>
      <c r="AQ30" s="9">
        <v>1631</v>
      </c>
    </row>
    <row r="31" spans="1:43" x14ac:dyDescent="0.25">
      <c r="A31" s="5" t="s">
        <v>68</v>
      </c>
      <c r="B31" s="5" t="s">
        <v>19</v>
      </c>
      <c r="C31" s="5" t="s">
        <v>69</v>
      </c>
      <c r="D31" s="11">
        <v>979</v>
      </c>
      <c r="E31" s="11">
        <v>189</v>
      </c>
      <c r="F31" s="11">
        <v>1257</v>
      </c>
      <c r="G31" s="11">
        <v>332</v>
      </c>
      <c r="H31" s="11">
        <v>2757</v>
      </c>
      <c r="I31" s="11">
        <v>997</v>
      </c>
      <c r="J31" s="11">
        <v>216</v>
      </c>
      <c r="K31" s="11">
        <v>1309</v>
      </c>
      <c r="L31" s="11">
        <v>337</v>
      </c>
      <c r="M31" s="11">
        <v>2859</v>
      </c>
      <c r="N31" s="11">
        <v>1044</v>
      </c>
      <c r="O31" s="11">
        <v>230</v>
      </c>
      <c r="P31" s="11">
        <v>1344</v>
      </c>
      <c r="Q31" s="11">
        <v>345</v>
      </c>
      <c r="R31" s="11">
        <v>2963</v>
      </c>
      <c r="S31" s="11">
        <v>1074</v>
      </c>
      <c r="T31" s="11">
        <v>244</v>
      </c>
      <c r="U31" s="11">
        <v>1351</v>
      </c>
      <c r="V31" s="11">
        <v>327</v>
      </c>
      <c r="W31" s="11">
        <v>2996</v>
      </c>
      <c r="X31" s="11">
        <v>1093</v>
      </c>
      <c r="Y31" s="11">
        <v>251</v>
      </c>
      <c r="Z31" s="11">
        <v>1217</v>
      </c>
      <c r="AA31" s="11">
        <v>321</v>
      </c>
      <c r="AB31" s="11">
        <v>2882</v>
      </c>
      <c r="AC31" s="9">
        <v>1074</v>
      </c>
      <c r="AD31" s="9">
        <v>232</v>
      </c>
      <c r="AE31" s="9">
        <v>1180</v>
      </c>
      <c r="AF31" s="9">
        <v>306</v>
      </c>
      <c r="AG31" s="10">
        <f t="shared" si="0"/>
        <v>2792</v>
      </c>
      <c r="AH31" s="9">
        <v>1144</v>
      </c>
      <c r="AI31" s="9">
        <v>290</v>
      </c>
      <c r="AJ31" s="9">
        <v>1452</v>
      </c>
      <c r="AK31" s="9">
        <v>308</v>
      </c>
      <c r="AL31" s="9">
        <v>3194</v>
      </c>
      <c r="AM31" s="9">
        <v>1192</v>
      </c>
      <c r="AN31" s="9">
        <v>272</v>
      </c>
      <c r="AO31" s="9">
        <v>1472</v>
      </c>
      <c r="AP31" s="9">
        <v>295</v>
      </c>
      <c r="AQ31" s="9">
        <v>3231</v>
      </c>
    </row>
    <row r="32" spans="1:43" x14ac:dyDescent="0.25">
      <c r="A32" s="5" t="s">
        <v>70</v>
      </c>
      <c r="B32" s="5" t="s">
        <v>20</v>
      </c>
      <c r="C32" s="5" t="s">
        <v>71</v>
      </c>
      <c r="D32" s="12">
        <v>246</v>
      </c>
      <c r="E32" s="12">
        <v>78</v>
      </c>
      <c r="F32" s="12">
        <v>253</v>
      </c>
      <c r="G32" s="12">
        <v>198</v>
      </c>
      <c r="H32" s="12">
        <v>775</v>
      </c>
      <c r="I32" s="12">
        <v>253</v>
      </c>
      <c r="J32" s="12">
        <v>72</v>
      </c>
      <c r="K32" s="12">
        <v>266</v>
      </c>
      <c r="L32" s="12">
        <v>187</v>
      </c>
      <c r="M32" s="12">
        <v>778</v>
      </c>
      <c r="N32" s="12">
        <v>270</v>
      </c>
      <c r="O32" s="12">
        <v>63</v>
      </c>
      <c r="P32" s="12">
        <v>274</v>
      </c>
      <c r="Q32" s="12">
        <v>183</v>
      </c>
      <c r="R32" s="12">
        <v>790</v>
      </c>
      <c r="S32" s="12">
        <v>298</v>
      </c>
      <c r="T32" s="12">
        <v>77</v>
      </c>
      <c r="U32" s="12">
        <v>303</v>
      </c>
      <c r="V32" s="12">
        <v>191</v>
      </c>
      <c r="W32" s="12">
        <v>869</v>
      </c>
      <c r="X32" s="12">
        <v>299</v>
      </c>
      <c r="Y32" s="12">
        <v>91</v>
      </c>
      <c r="Z32" s="12">
        <v>282</v>
      </c>
      <c r="AA32" s="12">
        <v>181</v>
      </c>
      <c r="AB32" s="12">
        <v>853</v>
      </c>
      <c r="AC32" s="9">
        <v>285</v>
      </c>
      <c r="AD32" s="9">
        <v>103</v>
      </c>
      <c r="AE32" s="9">
        <v>283</v>
      </c>
      <c r="AF32" s="9">
        <v>201</v>
      </c>
      <c r="AG32" s="10">
        <f t="shared" si="0"/>
        <v>872</v>
      </c>
      <c r="AH32" s="9">
        <v>295</v>
      </c>
      <c r="AI32" s="9">
        <v>109</v>
      </c>
      <c r="AJ32" s="9">
        <v>275</v>
      </c>
      <c r="AK32" s="9">
        <v>195</v>
      </c>
      <c r="AL32" s="9">
        <v>874</v>
      </c>
      <c r="AM32" s="9">
        <v>306</v>
      </c>
      <c r="AN32" s="9">
        <v>120</v>
      </c>
      <c r="AO32" s="9">
        <v>283</v>
      </c>
      <c r="AP32" s="9">
        <v>187</v>
      </c>
      <c r="AQ32" s="9">
        <v>896</v>
      </c>
    </row>
    <row r="33" spans="1:43" x14ac:dyDescent="0.25">
      <c r="A33" s="5" t="s">
        <v>72</v>
      </c>
      <c r="B33" s="5" t="s">
        <v>73</v>
      </c>
      <c r="C33" s="5" t="s">
        <v>74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>
        <v>30</v>
      </c>
      <c r="AI33" s="14">
        <v>25</v>
      </c>
      <c r="AJ33" s="14">
        <v>27</v>
      </c>
      <c r="AK33" s="14">
        <v>4</v>
      </c>
      <c r="AL33" s="14">
        <v>86</v>
      </c>
      <c r="AM33" s="14">
        <v>58</v>
      </c>
      <c r="AN33" s="14">
        <v>30</v>
      </c>
      <c r="AO33" s="14">
        <v>36</v>
      </c>
      <c r="AP33" s="14">
        <v>9</v>
      </c>
      <c r="AQ33" s="14">
        <v>133</v>
      </c>
    </row>
    <row r="34" spans="1:43" x14ac:dyDescent="0.25">
      <c r="A34" s="5" t="s">
        <v>75</v>
      </c>
      <c r="B34" s="5" t="s">
        <v>76</v>
      </c>
      <c r="C34" s="5" t="s">
        <v>77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>
        <v>45</v>
      </c>
      <c r="AI34" s="14">
        <v>52</v>
      </c>
      <c r="AJ34" s="14">
        <v>54</v>
      </c>
      <c r="AK34" s="14">
        <v>76</v>
      </c>
      <c r="AL34" s="14">
        <v>227</v>
      </c>
      <c r="AM34" s="14">
        <v>70</v>
      </c>
      <c r="AN34" s="14">
        <v>50</v>
      </c>
      <c r="AO34" s="14">
        <v>73</v>
      </c>
      <c r="AP34" s="14">
        <v>66</v>
      </c>
      <c r="AQ34" s="14">
        <v>259</v>
      </c>
    </row>
    <row r="35" spans="1:43" x14ac:dyDescent="0.25">
      <c r="A35" s="5" t="s">
        <v>78</v>
      </c>
      <c r="B35" s="5" t="s">
        <v>8</v>
      </c>
      <c r="C35" s="5" t="s">
        <v>79</v>
      </c>
      <c r="D35" s="11">
        <v>133</v>
      </c>
      <c r="E35" s="11">
        <v>57</v>
      </c>
      <c r="F35" s="11">
        <v>112</v>
      </c>
      <c r="G35" s="11">
        <v>120</v>
      </c>
      <c r="H35" s="11">
        <v>422</v>
      </c>
      <c r="I35" s="11">
        <v>152</v>
      </c>
      <c r="J35" s="11">
        <v>61</v>
      </c>
      <c r="K35" s="11">
        <v>137</v>
      </c>
      <c r="L35" s="11">
        <v>119</v>
      </c>
      <c r="M35" s="11">
        <v>469</v>
      </c>
      <c r="N35" s="11">
        <v>193</v>
      </c>
      <c r="O35" s="11">
        <v>69</v>
      </c>
      <c r="P35" s="11">
        <v>188</v>
      </c>
      <c r="Q35" s="11">
        <v>110</v>
      </c>
      <c r="R35" s="11">
        <v>560</v>
      </c>
      <c r="S35" s="11">
        <v>179</v>
      </c>
      <c r="T35" s="11">
        <v>64</v>
      </c>
      <c r="U35" s="11">
        <v>196</v>
      </c>
      <c r="V35" s="11">
        <v>103</v>
      </c>
      <c r="W35" s="11">
        <v>542</v>
      </c>
      <c r="X35" s="11">
        <v>195</v>
      </c>
      <c r="Y35" s="11">
        <v>47</v>
      </c>
      <c r="Z35" s="11">
        <v>207</v>
      </c>
      <c r="AA35" s="11">
        <v>89</v>
      </c>
      <c r="AB35" s="11">
        <v>538</v>
      </c>
      <c r="AC35" s="9">
        <v>190</v>
      </c>
      <c r="AD35" s="9">
        <v>48</v>
      </c>
      <c r="AE35" s="9">
        <v>219</v>
      </c>
      <c r="AF35" s="9">
        <v>84</v>
      </c>
      <c r="AG35" s="10">
        <f>SUM(AC35:AF35)</f>
        <v>541</v>
      </c>
      <c r="AH35" s="9">
        <v>193</v>
      </c>
      <c r="AI35" s="9">
        <v>50</v>
      </c>
      <c r="AJ35" s="9">
        <v>236</v>
      </c>
      <c r="AK35" s="9">
        <v>75</v>
      </c>
      <c r="AL35" s="9">
        <v>554</v>
      </c>
      <c r="AM35" s="9">
        <v>201</v>
      </c>
      <c r="AN35" s="9">
        <v>44</v>
      </c>
      <c r="AO35" s="9">
        <v>257</v>
      </c>
      <c r="AP35" s="9">
        <v>73</v>
      </c>
      <c r="AQ35" s="9">
        <v>575</v>
      </c>
    </row>
    <row r="36" spans="1:43" x14ac:dyDescent="0.25">
      <c r="A36" s="5" t="s">
        <v>80</v>
      </c>
      <c r="B36" s="5" t="s">
        <v>81</v>
      </c>
      <c r="C36" s="5" t="s">
        <v>82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>
        <v>504</v>
      </c>
      <c r="AI36" s="9">
        <v>114</v>
      </c>
      <c r="AJ36" s="9">
        <v>188</v>
      </c>
      <c r="AK36" s="9">
        <v>166</v>
      </c>
      <c r="AL36" s="9">
        <v>972</v>
      </c>
      <c r="AM36" s="9">
        <v>551</v>
      </c>
      <c r="AN36" s="9">
        <v>99</v>
      </c>
      <c r="AO36" s="9">
        <v>221</v>
      </c>
      <c r="AP36" s="9">
        <v>509</v>
      </c>
      <c r="AQ36" s="9">
        <v>1380</v>
      </c>
    </row>
    <row r="37" spans="1:43" x14ac:dyDescent="0.25">
      <c r="A37" s="24" t="s">
        <v>22</v>
      </c>
      <c r="B37" s="24"/>
      <c r="C37" s="24"/>
      <c r="D37" s="13">
        <f>SUM(D10:D36)</f>
        <v>16320</v>
      </c>
      <c r="E37" s="13">
        <f t="shared" ref="E37:AL37" si="1">SUM(E10:E36)</f>
        <v>5897</v>
      </c>
      <c r="F37" s="13">
        <f t="shared" si="1"/>
        <v>17912</v>
      </c>
      <c r="G37" s="13">
        <f t="shared" si="1"/>
        <v>6299</v>
      </c>
      <c r="H37" s="13">
        <f t="shared" si="1"/>
        <v>46428</v>
      </c>
      <c r="I37" s="13">
        <f t="shared" si="1"/>
        <v>16684</v>
      </c>
      <c r="J37" s="13">
        <f t="shared" si="1"/>
        <v>5951</v>
      </c>
      <c r="K37" s="13">
        <f t="shared" si="1"/>
        <v>18430</v>
      </c>
      <c r="L37" s="13">
        <f t="shared" si="1"/>
        <v>6079</v>
      </c>
      <c r="M37" s="13">
        <f t="shared" si="1"/>
        <v>47144</v>
      </c>
      <c r="N37" s="13">
        <f t="shared" si="1"/>
        <v>16935</v>
      </c>
      <c r="O37" s="13">
        <f t="shared" si="1"/>
        <v>5824</v>
      </c>
      <c r="P37" s="13">
        <f t="shared" si="1"/>
        <v>19150</v>
      </c>
      <c r="Q37" s="13">
        <f t="shared" si="1"/>
        <v>5734</v>
      </c>
      <c r="R37" s="13">
        <f t="shared" si="1"/>
        <v>47643</v>
      </c>
      <c r="S37" s="13">
        <f t="shared" si="1"/>
        <v>17452.031999999999</v>
      </c>
      <c r="T37" s="13">
        <f t="shared" si="1"/>
        <v>6145.9529999999995</v>
      </c>
      <c r="U37" s="13">
        <f t="shared" si="1"/>
        <v>19405.251</v>
      </c>
      <c r="V37" s="13">
        <f t="shared" si="1"/>
        <v>5420.25</v>
      </c>
      <c r="W37" s="13">
        <f t="shared" si="1"/>
        <v>48423.486000000004</v>
      </c>
      <c r="X37" s="13">
        <f t="shared" si="1"/>
        <v>17838</v>
      </c>
      <c r="Y37" s="13">
        <f t="shared" si="1"/>
        <v>6291</v>
      </c>
      <c r="Z37" s="13">
        <f t="shared" si="1"/>
        <v>19605</v>
      </c>
      <c r="AA37" s="13">
        <f t="shared" si="1"/>
        <v>5151</v>
      </c>
      <c r="AB37" s="13">
        <f t="shared" si="1"/>
        <v>48885</v>
      </c>
      <c r="AC37" s="13">
        <f t="shared" si="1"/>
        <v>18192</v>
      </c>
      <c r="AD37" s="13">
        <f t="shared" si="1"/>
        <v>6508</v>
      </c>
      <c r="AE37" s="13">
        <f t="shared" si="1"/>
        <v>20055</v>
      </c>
      <c r="AF37" s="13">
        <f t="shared" si="1"/>
        <v>5146</v>
      </c>
      <c r="AG37" s="13">
        <f t="shared" si="1"/>
        <v>49901</v>
      </c>
      <c r="AH37" s="13">
        <f t="shared" si="1"/>
        <v>18567</v>
      </c>
      <c r="AI37" s="13">
        <f t="shared" si="1"/>
        <v>6735</v>
      </c>
      <c r="AJ37" s="13">
        <f t="shared" si="1"/>
        <v>21051</v>
      </c>
      <c r="AK37" s="13">
        <f t="shared" si="1"/>
        <v>4958</v>
      </c>
      <c r="AL37" s="13">
        <f t="shared" si="1"/>
        <v>51311</v>
      </c>
      <c r="AM37" s="13">
        <v>19213</v>
      </c>
      <c r="AN37" s="13">
        <v>6814</v>
      </c>
      <c r="AO37" s="13">
        <v>22323</v>
      </c>
      <c r="AP37" s="13">
        <v>9034</v>
      </c>
      <c r="AQ37" s="13">
        <v>57384</v>
      </c>
    </row>
    <row r="39" spans="1:43" x14ac:dyDescent="0.25">
      <c r="AM39" s="15"/>
      <c r="AN39" s="15"/>
      <c r="AO39" s="15"/>
      <c r="AP39" s="15"/>
      <c r="AQ39" s="15"/>
    </row>
  </sheetData>
  <mergeCells count="9">
    <mergeCell ref="AM8:AQ8"/>
    <mergeCell ref="AC8:AG8"/>
    <mergeCell ref="AH8:AL8"/>
    <mergeCell ref="A37:C37"/>
    <mergeCell ref="D8:H8"/>
    <mergeCell ref="I8:M8"/>
    <mergeCell ref="N8:R8"/>
    <mergeCell ref="S8:W8"/>
    <mergeCell ref="X8:AB8"/>
  </mergeCells>
  <pageMargins left="0.7" right="0.7" top="0.75" bottom="0.75" header="0.3" footer="0.3"/>
  <pageSetup orientation="portrait" r:id="rId1"/>
  <ignoredErrors>
    <ignoredError sqref="AG11:AG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Sheppard, Charles (Dr) (Summerstrand Campus South)</dc:creator>
  <cp:lastModifiedBy>Hendry Mkhonto</cp:lastModifiedBy>
  <dcterms:created xsi:type="dcterms:W3CDTF">2015-06-03T13:10:27Z</dcterms:created>
  <dcterms:modified xsi:type="dcterms:W3CDTF">2026-02-25T14:01:56Z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8e1fa066-f3c1-4a27-97fa-617ce8f83525</vt:lpwstr>
  </property>
  <property fmtid="{D5CDD505-2E9C-101B-9397-08002B2CF9AE}" pid="3" name="DeloitteCountry">
    <vt:lpwstr>SouthAfrica</vt:lpwstr>
  </property>
  <property fmtid="{D5CDD505-2E9C-101B-9397-08002B2CF9AE}" pid="4" name="DeloitteCompany">
    <vt:lpwstr>DeloitteZA</vt:lpwstr>
  </property>
  <property fmtid="{D5CDD505-2E9C-101B-9397-08002B2CF9AE}" pid="5" name="DeloitteDivision">
    <vt:lpwstr>None</vt:lpwstr>
  </property>
  <property fmtid="{D5CDD505-2E9C-101B-9397-08002B2CF9AE}" pid="6" name="DeloitteBusinessUnit">
    <vt:lpwstr>None</vt:lpwstr>
  </property>
  <property fmtid="{D5CDD505-2E9C-101B-9397-08002B2CF9AE}" pid="7" name="DeloitteServiceLine">
    <vt:lpwstr>None</vt:lpwstr>
  </property>
  <property fmtid="{D5CDD505-2E9C-101B-9397-08002B2CF9AE}" pid="8" name="DeloitteSecurityClassification">
    <vt:lpwstr>Internal</vt:lpwstr>
  </property>
  <property fmtid="{D5CDD505-2E9C-101B-9397-08002B2CF9AE}" pid="9" name="DeloitteSensitivity">
    <vt:lpwstr>FirmPersonalAndConfidential</vt:lpwstr>
  </property>
</Properties>
</file>